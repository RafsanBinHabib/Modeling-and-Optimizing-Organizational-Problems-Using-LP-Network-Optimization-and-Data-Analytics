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ipping LP" sheetId="1" r:id="rId1"/>
  </sheets>
  <definedNames>
    <definedName name="solver_adj" localSheetId="0" hidden="1">'Shipping LP'!$B$6:$C$6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'Shipping LP'!$B$14</definedName>
    <definedName name="solver_lhs2" localSheetId="0" hidden="1">'Shipping LP'!$B$15</definedName>
    <definedName name="solver_lhs3" localSheetId="0" hidden="1">'Shipping LP'!$B$16</definedName>
    <definedName name="solver_lhs4" localSheetId="0" hidden="1">'Shipping LP'!$B$6:$C$6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'Shipping LP'!$B$10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1" localSheetId="0" hidden="1">'Shipping LP'!$D$14</definedName>
    <definedName name="solver_rhs2" localSheetId="0" hidden="1">'Shipping LP'!$D$15</definedName>
    <definedName name="solver_rhs3" localSheetId="0" hidden="1">'Shipping LP'!$D$16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B15" i="1"/>
  <c r="B14" i="1"/>
  <c r="B10" i="1"/>
</calcChain>
</file>

<file path=xl/sharedStrings.xml><?xml version="1.0" encoding="utf-8"?>
<sst xmlns="http://schemas.openxmlformats.org/spreadsheetml/2006/main" count="40" uniqueCount="39">
  <si>
    <t>Shipping Order Mix — Linear Programming Model</t>
  </si>
  <si>
    <t>Maximize Z = 22x1 + 23x2</t>
  </si>
  <si>
    <t>Decision Variables</t>
  </si>
  <si>
    <t>Variable</t>
  </si>
  <si>
    <t>x1 (Standard)</t>
  </si>
  <si>
    <t>x2 (First Class)</t>
  </si>
  <si>
    <t>Order Volume (Solver changes these)</t>
  </si>
  <si>
    <t>Objective Function</t>
  </si>
  <si>
    <t>Profit per Order</t>
  </si>
  <si>
    <t>&lt;- Standard $22.00 / First Class $23.12 rounded to $23</t>
  </si>
  <si>
    <t>Total Profit (Z)</t>
  </si>
  <si>
    <t>Constraints</t>
  </si>
  <si>
    <t>Description</t>
  </si>
  <si>
    <t>LHS (Formula)</t>
  </si>
  <si>
    <t>Sign</t>
  </si>
  <si>
    <t>RHS</t>
  </si>
  <si>
    <t>(1) Total monthly shipping capacity</t>
  </si>
  <si>
    <t>&lt;=</t>
  </si>
  <si>
    <t>(2) First Class carrier capacity limit</t>
  </si>
  <si>
    <t>(3) Minimum Standard Class commitment</t>
  </si>
  <si>
    <t>&gt;=</t>
  </si>
  <si>
    <t>(4) Non-negativity: x1, x2 &gt;= 0</t>
  </si>
  <si>
    <t>Solver Setup Reference</t>
  </si>
  <si>
    <t>Set Objective:</t>
  </si>
  <si>
    <t>$B$10</t>
  </si>
  <si>
    <t>To:</t>
  </si>
  <si>
    <t>Max</t>
  </si>
  <si>
    <t>By Changing Variable Cells:</t>
  </si>
  <si>
    <t>$B$6:$C$6</t>
  </si>
  <si>
    <t>Constraint 1:</t>
  </si>
  <si>
    <t>$B$14 &lt;= $D$14</t>
  </si>
  <si>
    <t>Constraint 2:</t>
  </si>
  <si>
    <t>$B$15 &lt;= $D$15</t>
  </si>
  <si>
    <t>Constraint 3:</t>
  </si>
  <si>
    <t>$B$16 &gt;= $D$16</t>
  </si>
  <si>
    <t>Constraint 4:</t>
  </si>
  <si>
    <t>$B$6:$C$6 &gt;= 0</t>
  </si>
  <si>
    <t>Solving Method:</t>
  </si>
  <si>
    <t>Simplex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</si>
</sst>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i/>
      <sz val="9"/>
      <color rgb="FF80808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Normal="100" workbookViewId="0">
      <selection activeCell="H6" sqref="H6"/>
    </sheetView>
  </sheetViews>
  <sheetFormatPr defaultColWidth="8.7109375" defaultRowHeight="15" x14ac:dyDescent="0.25"/>
  <cols>
    <col min="1" max="1" width="41.7109375" customWidth="1"/>
    <col min="2" max="2" width="17.42578125" customWidth="1"/>
    <col min="3" max="3" width="17.5703125" customWidth="1"/>
    <col min="4" max="4" width="12" customWidth="1"/>
    <col min="5" max="5" width="32.42578125" customWidth="1"/>
  </cols>
  <sheetData>
    <row r="1" spans="1:5" ht="21.75" customHeight="1" x14ac:dyDescent="0.25">
      <c r="A1" s="5" t="s">
        <v>0</v>
      </c>
      <c r="B1" s="5"/>
      <c r="C1" s="5"/>
      <c r="D1" s="5"/>
      <c r="E1" s="5"/>
    </row>
    <row r="2" spans="1:5" x14ac:dyDescent="0.25">
      <c r="A2" s="4" t="s">
        <v>1</v>
      </c>
      <c r="B2" s="4"/>
      <c r="C2" s="4"/>
      <c r="D2" s="4"/>
      <c r="E2" s="4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6" t="s">
        <v>3</v>
      </c>
      <c r="B5" s="7" t="s">
        <v>4</v>
      </c>
      <c r="C5" s="7" t="s">
        <v>5</v>
      </c>
    </row>
    <row r="6" spans="1:5" x14ac:dyDescent="0.25">
      <c r="A6" s="8" t="s">
        <v>6</v>
      </c>
      <c r="B6" s="9">
        <v>4300</v>
      </c>
      <c r="C6" s="9">
        <v>900</v>
      </c>
    </row>
    <row r="8" spans="1:5" x14ac:dyDescent="0.25">
      <c r="A8" s="3" t="s">
        <v>7</v>
      </c>
      <c r="B8" s="3"/>
      <c r="C8" s="3"/>
      <c r="D8" s="3"/>
      <c r="E8" s="3"/>
    </row>
    <row r="9" spans="1:5" x14ac:dyDescent="0.25">
      <c r="A9" s="6" t="s">
        <v>8</v>
      </c>
      <c r="B9" s="10">
        <v>22</v>
      </c>
      <c r="C9" s="10">
        <v>23</v>
      </c>
      <c r="D9" s="11" t="s">
        <v>9</v>
      </c>
    </row>
    <row r="10" spans="1:5" ht="15.75" x14ac:dyDescent="0.25">
      <c r="A10" s="6" t="s">
        <v>10</v>
      </c>
      <c r="B10" s="2">
        <f>B9*B6+C9*C6</f>
        <v>115300</v>
      </c>
      <c r="C10" s="2"/>
    </row>
    <row r="12" spans="1:5" x14ac:dyDescent="0.25">
      <c r="A12" s="3" t="s">
        <v>11</v>
      </c>
      <c r="B12" s="3"/>
      <c r="C12" s="3"/>
      <c r="D12" s="3"/>
      <c r="E12" s="3"/>
    </row>
    <row r="13" spans="1:5" x14ac:dyDescent="0.25">
      <c r="A13" s="6" t="s">
        <v>12</v>
      </c>
      <c r="B13" s="7" t="s">
        <v>13</v>
      </c>
      <c r="C13" s="7" t="s">
        <v>14</v>
      </c>
      <c r="D13" s="7" t="s">
        <v>15</v>
      </c>
    </row>
    <row r="14" spans="1:5" x14ac:dyDescent="0.25">
      <c r="A14" s="8" t="s">
        <v>16</v>
      </c>
      <c r="B14" s="12">
        <f>B6+C6</f>
        <v>5200</v>
      </c>
      <c r="C14" s="13" t="s">
        <v>17</v>
      </c>
      <c r="D14" s="9">
        <v>5200</v>
      </c>
    </row>
    <row r="15" spans="1:5" x14ac:dyDescent="0.25">
      <c r="A15" s="8" t="s">
        <v>18</v>
      </c>
      <c r="B15" s="12">
        <f>C6</f>
        <v>900</v>
      </c>
      <c r="C15" s="13" t="s">
        <v>17</v>
      </c>
      <c r="D15" s="9">
        <v>900</v>
      </c>
    </row>
    <row r="16" spans="1:5" x14ac:dyDescent="0.25">
      <c r="A16" s="8" t="s">
        <v>19</v>
      </c>
      <c r="B16" s="12">
        <f>B6</f>
        <v>4300</v>
      </c>
      <c r="C16" s="13" t="s">
        <v>20</v>
      </c>
      <c r="D16" s="9">
        <v>2500</v>
      </c>
    </row>
    <row r="17" spans="1:5" x14ac:dyDescent="0.25">
      <c r="A17" s="11" t="s">
        <v>21</v>
      </c>
    </row>
    <row r="19" spans="1:5" x14ac:dyDescent="0.25">
      <c r="A19" s="3" t="s">
        <v>22</v>
      </c>
      <c r="B19" s="3"/>
      <c r="C19" s="3"/>
      <c r="D19" s="3"/>
      <c r="E19" s="3"/>
    </row>
    <row r="20" spans="1:5" x14ac:dyDescent="0.25">
      <c r="A20" s="6" t="s">
        <v>23</v>
      </c>
      <c r="B20" s="1" t="s">
        <v>24</v>
      </c>
      <c r="C20" s="1"/>
      <c r="D20" s="1"/>
    </row>
    <row r="21" spans="1:5" x14ac:dyDescent="0.25">
      <c r="A21" s="6" t="s">
        <v>25</v>
      </c>
      <c r="B21" s="1" t="s">
        <v>26</v>
      </c>
      <c r="C21" s="1"/>
      <c r="D21" s="1"/>
    </row>
    <row r="22" spans="1:5" x14ac:dyDescent="0.25">
      <c r="A22" s="6" t="s">
        <v>27</v>
      </c>
      <c r="B22" s="1" t="s">
        <v>28</v>
      </c>
      <c r="C22" s="1"/>
      <c r="D22" s="1"/>
    </row>
    <row r="23" spans="1:5" x14ac:dyDescent="0.25">
      <c r="A23" s="6" t="s">
        <v>29</v>
      </c>
      <c r="B23" s="1" t="s">
        <v>30</v>
      </c>
      <c r="C23" s="1"/>
      <c r="D23" s="1"/>
    </row>
    <row r="24" spans="1:5" x14ac:dyDescent="0.25">
      <c r="A24" s="6" t="s">
        <v>31</v>
      </c>
      <c r="B24" s="1" t="s">
        <v>32</v>
      </c>
      <c r="C24" s="1"/>
      <c r="D24" s="1"/>
    </row>
    <row r="25" spans="1:5" x14ac:dyDescent="0.25">
      <c r="A25" s="6" t="s">
        <v>33</v>
      </c>
      <c r="B25" s="1" t="s">
        <v>34</v>
      </c>
      <c r="C25" s="1"/>
      <c r="D25" s="1"/>
    </row>
    <row r="26" spans="1:5" x14ac:dyDescent="0.25">
      <c r="A26" s="6" t="s">
        <v>35</v>
      </c>
      <c r="B26" s="1" t="s">
        <v>36</v>
      </c>
      <c r="C26" s="1"/>
      <c r="D26" s="1"/>
    </row>
    <row r="27" spans="1:5" x14ac:dyDescent="0.25">
      <c r="A27" s="6" t="s">
        <v>37</v>
      </c>
      <c r="B27" s="1" t="s">
        <v>38</v>
      </c>
      <c r="C27" s="1"/>
      <c r="D27" s="1"/>
    </row>
  </sheetData>
  <mergeCells count="15">
    <mergeCell ref="B23:D23"/>
    <mergeCell ref="B24:D24"/>
    <mergeCell ref="B25:D25"/>
    <mergeCell ref="B26:D26"/>
    <mergeCell ref="B27:D27"/>
    <mergeCell ref="A12:E12"/>
    <mergeCell ref="A19:E19"/>
    <mergeCell ref="B20:D20"/>
    <mergeCell ref="B21:D21"/>
    <mergeCell ref="B22:D22"/>
    <mergeCell ref="A1:E1"/>
    <mergeCell ref="A2:E2"/>
    <mergeCell ref="A4:E4"/>
    <mergeCell ref="A8:E8"/>
    <mergeCell ref="B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Habib</cp:lastModifiedBy>
  <cp:revision>0</cp:revision>
  <dcterms:created xsi:type="dcterms:W3CDTF">2026-08-05T06:21:59Z</dcterms:created>
  <dcterms:modified xsi:type="dcterms:W3CDTF">2026-08-05T06:30:05Z</dcterms:modified>
  <dc:language>en-US</dc:language>
</cp:coreProperties>
</file>